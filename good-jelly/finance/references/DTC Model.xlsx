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C US" sheetId="1" r:id="rId5"/>
  </sheets>
  <definedNames/>
  <calcPr/>
</workbook>
</file>

<file path=xl/sharedStrings.xml><?xml version="1.0" encoding="utf-8"?>
<sst xmlns="http://schemas.openxmlformats.org/spreadsheetml/2006/main" count="99" uniqueCount="95">
  <si>
    <t>Start Here</t>
  </si>
  <si>
    <t>P&amp;L</t>
  </si>
  <si>
    <t>Assumptions</t>
  </si>
  <si>
    <t>Advertising Budget</t>
  </si>
  <si>
    <t>60g bag, 7g of collagen per bag, 20 gummies per bag</t>
  </si>
  <si>
    <t>MoM% Growth of Ad Budget</t>
  </si>
  <si>
    <t>Ad Spend</t>
  </si>
  <si>
    <t>Zipper bag</t>
  </si>
  <si>
    <t>Avg CPC</t>
  </si>
  <si>
    <t xml:space="preserve">Everything in USD </t>
  </si>
  <si>
    <t>Paid Sessions</t>
  </si>
  <si>
    <t>Customer pays shipping (~$6)</t>
  </si>
  <si>
    <t>Organic Sessions</t>
  </si>
  <si>
    <t>No discounts</t>
  </si>
  <si>
    <t>MoM% Growth of Organic</t>
  </si>
  <si>
    <t>Total Sessions</t>
  </si>
  <si>
    <t>Bags ship in boxes of 6</t>
  </si>
  <si>
    <t>Price per bag</t>
  </si>
  <si>
    <t>Conversion Rate</t>
  </si>
  <si>
    <t>New Orders</t>
  </si>
  <si>
    <t>Order Detalis</t>
  </si>
  <si>
    <t>Price Per Box</t>
  </si>
  <si>
    <t>Repeat Orders from Repeat consumers</t>
  </si>
  <si>
    <t>12,000 pouches</t>
  </si>
  <si>
    <t>CPA</t>
  </si>
  <si>
    <t>Repeat Orders  from Repeat consumers</t>
  </si>
  <si>
    <t>2000 boxes</t>
  </si>
  <si>
    <t>Box Breakdown</t>
  </si>
  <si>
    <t># of bags per box</t>
  </si>
  <si>
    <t>Total Orders</t>
  </si>
  <si>
    <t xml:space="preserve">800: Sample pack (each box = 2x pineapple 2x mango 2x lychee) </t>
  </si>
  <si>
    <t>MOQ (per flavour)</t>
  </si>
  <si>
    <t>600mango</t>
  </si>
  <si>
    <t>Total Box Cost</t>
  </si>
  <si>
    <t>New Order Revenue</t>
  </si>
  <si>
    <t>300 pineapple</t>
  </si>
  <si>
    <t>Cost per box</t>
  </si>
  <si>
    <t>Repeat Orders Revenue</t>
  </si>
  <si>
    <t>300 lychee</t>
  </si>
  <si>
    <t>Fully loaded cost per bag</t>
  </si>
  <si>
    <t>COGS (Per box)</t>
  </si>
  <si>
    <t>Gross Revenue</t>
  </si>
  <si>
    <t>Avg Return as % of AOV</t>
  </si>
  <si>
    <t>Returns</t>
  </si>
  <si>
    <t>Avg Discount as % of AOV</t>
  </si>
  <si>
    <t>Discount</t>
  </si>
  <si>
    <t>Net Revenue</t>
  </si>
  <si>
    <t>Payment Processing Transaction Fee</t>
  </si>
  <si>
    <t>Payment Processing % of AOV</t>
  </si>
  <si>
    <t>Fulfilment Cost</t>
  </si>
  <si>
    <t>Insertion Fee (per order)</t>
  </si>
  <si>
    <t>Uline Shipping Box (per order)</t>
  </si>
  <si>
    <t>Variable Expenses</t>
  </si>
  <si>
    <t>New Order COGS</t>
  </si>
  <si>
    <t>Months between Repeat Order</t>
  </si>
  <si>
    <t>Repeat Order COGS</t>
  </si>
  <si>
    <t>Repeat Order AOV</t>
  </si>
  <si>
    <t>Payment Processing</t>
  </si>
  <si>
    <t>Repeat Order Pack Size</t>
  </si>
  <si>
    <t>Shipping + Picking</t>
  </si>
  <si>
    <t>Total Variable</t>
  </si>
  <si>
    <t>New Customer Churn</t>
  </si>
  <si>
    <t>Repeat Customer Churn</t>
  </si>
  <si>
    <t>Gross Profit</t>
  </si>
  <si>
    <t>Gross Margin</t>
  </si>
  <si>
    <t>Number of times customer will order</t>
  </si>
  <si>
    <t>Overhead</t>
  </si>
  <si>
    <t>% of Margin Reinvested</t>
  </si>
  <si>
    <t>Software</t>
  </si>
  <si>
    <t>Shopify</t>
  </si>
  <si>
    <t>Instant</t>
  </si>
  <si>
    <t>Calculations:</t>
  </si>
  <si>
    <t>Klaviyo</t>
  </si>
  <si>
    <t>Repeat Customer Transactions</t>
  </si>
  <si>
    <t>Contribution Margin</t>
  </si>
  <si>
    <t>LTV (Revenue)</t>
  </si>
  <si>
    <t>Regulatory</t>
  </si>
  <si>
    <t>LTV (Margin)</t>
  </si>
  <si>
    <t>Regulatory (startup)</t>
  </si>
  <si>
    <t>z</t>
  </si>
  <si>
    <t>Regulatory (annual)</t>
  </si>
  <si>
    <t>Storage</t>
  </si>
  <si>
    <t xml:space="preserve"># of SKUs </t>
  </si>
  <si>
    <t>Bin Fee (per bin)</t>
  </si>
  <si>
    <t>Warehouse</t>
  </si>
  <si>
    <t>Overflow fee (per cubic ft)</t>
  </si>
  <si>
    <t>Total Cubic Feet Needed</t>
  </si>
  <si>
    <t>Account Fee</t>
  </si>
  <si>
    <t>Weekly Bin Fee</t>
  </si>
  <si>
    <t>Weekly Overflow Fee</t>
  </si>
  <si>
    <t xml:space="preserve">Total Overhead </t>
  </si>
  <si>
    <t>FSVP</t>
  </si>
  <si>
    <t>Net</t>
  </si>
  <si>
    <t>Label Review</t>
  </si>
  <si>
    <t>FDA Notification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</si>
</sst>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0.0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Viga"/>
    </font>
    <font>
      <b/>
      <color theme="1"/>
      <name val="Arial"/>
      <scheme val="minor"/>
    </font>
    <font>
      <color theme="1"/>
      <name val="Viga"/>
    </font>
    <font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  <font>
      <b/>
      <sz val="8.0"/>
      <color theme="1"/>
      <name val="Arial"/>
    </font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B43EC"/>
        <bgColor rgb="FF1B43EC"/>
      </patternFill>
    </fill>
    <fill>
      <patternFill patternType="solid">
        <fgColor rgb="FFF0EAF9"/>
        <bgColor rgb="FFF0EAF9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5" numFmtId="164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4" fontId="6" numFmtId="10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2" numFmtId="0" xfId="0" applyFont="1"/>
    <xf borderId="0" fillId="0" fontId="5" numFmtId="0" xfId="0" applyAlignment="1" applyFont="1">
      <alignment horizontal="center"/>
    </xf>
    <xf borderId="0" fillId="0" fontId="4" numFmtId="0" xfId="0" applyFont="1"/>
    <xf borderId="0" fillId="0" fontId="5" numFmtId="3" xfId="0" applyAlignment="1" applyFont="1" applyNumberFormat="1">
      <alignment horizontal="center"/>
    </xf>
    <xf borderId="0" fillId="4" fontId="5" numFmtId="3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5" numFmtId="3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/>
    </xf>
    <xf borderId="0" fillId="4" fontId="5" numFmtId="10" xfId="0" applyAlignment="1" applyFont="1" applyNumberFormat="1">
      <alignment readingOrder="0"/>
    </xf>
    <xf borderId="0" fillId="5" fontId="5" numFmtId="164" xfId="0" applyAlignment="1" applyFill="1" applyFont="1" applyNumberFormat="1">
      <alignment readingOrder="0"/>
    </xf>
    <xf borderId="0" fillId="5" fontId="5" numFmtId="10" xfId="0" applyAlignment="1" applyFont="1" applyNumberFormat="1">
      <alignment readingOrder="0"/>
    </xf>
    <xf borderId="0" fillId="0" fontId="5" numFmtId="0" xfId="0" applyAlignment="1" applyFont="1">
      <alignment horizontal="center"/>
    </xf>
    <xf borderId="0" fillId="5" fontId="5" numFmtId="164" xfId="0" applyFont="1" applyNumberFormat="1"/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0" fillId="0" fontId="5" numFmtId="1" xfId="0" applyAlignment="1" applyFont="1" applyNumberFormat="1">
      <alignment horizontal="center"/>
    </xf>
    <xf borderId="0" fillId="4" fontId="5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6" fontId="5" numFmtId="0" xfId="0" applyFont="1"/>
    <xf borderId="0" fillId="0" fontId="5" numFmtId="164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4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6" numFmtId="10" xfId="0" applyAlignment="1" applyFont="1" applyNumberFormat="1">
      <alignment horizontal="right" vertical="bottom"/>
    </xf>
    <xf borderId="0" fillId="4" fontId="6" numFmtId="164" xfId="0" applyAlignment="1" applyFont="1" applyNumberFormat="1">
      <alignment horizontal="right" readingOrder="0" vertical="bottom"/>
    </xf>
    <xf borderId="2" fillId="0" fontId="2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center"/>
    </xf>
    <xf borderId="0" fillId="0" fontId="1" numFmtId="0" xfId="0" applyAlignment="1" applyFont="1">
      <alignment readingOrder="0" vertical="bottom"/>
    </xf>
    <xf borderId="0" fillId="4" fontId="6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4" fontId="6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center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0" fillId="0" fontId="6" numFmtId="9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5" numFmtId="10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6" numFmtId="166" xfId="0" applyAlignment="1" applyFont="1" applyNumberFormat="1">
      <alignment horizontal="right" vertical="bottom"/>
    </xf>
    <xf borderId="2" fillId="0" fontId="5" numFmtId="0" xfId="0" applyBorder="1" applyFont="1"/>
    <xf borderId="0" fillId="0" fontId="6" numFmtId="10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center" vertical="bottom"/>
    </xf>
    <xf borderId="0" fillId="0" fontId="5" numFmtId="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center"/>
    </xf>
    <xf borderId="1" fillId="0" fontId="5" numFmtId="0" xfId="0" applyAlignment="1" applyBorder="1" applyFont="1">
      <alignment readingOrder="0"/>
    </xf>
    <xf borderId="1" fillId="0" fontId="5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859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0"/>
    <col customWidth="1" min="3" max="3" width="4.63"/>
    <col customWidth="1" min="4" max="4" width="21.88"/>
    <col customWidth="1" min="17" max="20" width="4.63"/>
    <col customWidth="1" min="21" max="21" width="56.25"/>
  </cols>
  <sheetData>
    <row r="1" ht="49.5" customHeight="1">
      <c r="A1" s="1"/>
      <c r="S1" s="1"/>
      <c r="T1" s="1"/>
      <c r="U1" s="1"/>
    </row>
    <row r="2">
      <c r="A2" s="2" t="s">
        <v>0</v>
      </c>
      <c r="D2" s="2" t="s">
        <v>1</v>
      </c>
      <c r="S2" s="3" t="s">
        <v>2</v>
      </c>
    </row>
    <row r="3">
      <c r="A3" s="4" t="s">
        <v>3</v>
      </c>
      <c r="B3" s="5">
        <v>3000.0</v>
      </c>
      <c r="D3" s="2"/>
      <c r="E3" s="2">
        <v>1.0</v>
      </c>
      <c r="F3" s="2">
        <v>2.0</v>
      </c>
      <c r="G3" s="2">
        <v>3.0</v>
      </c>
      <c r="H3" s="2">
        <v>4.0</v>
      </c>
      <c r="I3" s="2">
        <v>5.0</v>
      </c>
      <c r="J3" s="2">
        <v>6.0</v>
      </c>
      <c r="K3" s="2">
        <v>7.0</v>
      </c>
      <c r="L3" s="2">
        <v>8.0</v>
      </c>
      <c r="M3" s="2">
        <v>9.0</v>
      </c>
      <c r="N3" s="2">
        <v>10.0</v>
      </c>
      <c r="O3" s="2">
        <v>11.0</v>
      </c>
      <c r="P3" s="2">
        <v>12.0</v>
      </c>
      <c r="S3" s="6" t="s">
        <v>4</v>
      </c>
    </row>
    <row r="4">
      <c r="A4" s="7" t="s">
        <v>5</v>
      </c>
      <c r="B4" s="8">
        <v>0.1</v>
      </c>
      <c r="D4" s="9" t="s">
        <v>6</v>
      </c>
      <c r="E4" s="10">
        <f>B3</f>
        <v>3000</v>
      </c>
      <c r="F4" s="10">
        <f t="shared" ref="F4:P4" si="1">E4</f>
        <v>3000</v>
      </c>
      <c r="G4" s="10">
        <f t="shared" si="1"/>
        <v>3000</v>
      </c>
      <c r="H4" s="10">
        <f t="shared" si="1"/>
        <v>3000</v>
      </c>
      <c r="I4" s="10">
        <f t="shared" si="1"/>
        <v>3000</v>
      </c>
      <c r="J4" s="10">
        <f t="shared" si="1"/>
        <v>3000</v>
      </c>
      <c r="K4" s="10">
        <f t="shared" si="1"/>
        <v>3000</v>
      </c>
      <c r="L4" s="10">
        <f t="shared" si="1"/>
        <v>3000</v>
      </c>
      <c r="M4" s="10">
        <f t="shared" si="1"/>
        <v>3000</v>
      </c>
      <c r="N4" s="10">
        <f t="shared" si="1"/>
        <v>3000</v>
      </c>
      <c r="O4" s="10">
        <f t="shared" si="1"/>
        <v>3000</v>
      </c>
      <c r="P4" s="10">
        <f t="shared" si="1"/>
        <v>3000</v>
      </c>
      <c r="S4" s="6" t="s">
        <v>7</v>
      </c>
    </row>
    <row r="5">
      <c r="A5" s="4" t="s">
        <v>8</v>
      </c>
      <c r="B5" s="5">
        <v>0.75</v>
      </c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S5" s="6" t="s">
        <v>9</v>
      </c>
    </row>
    <row r="6">
      <c r="A6" s="13"/>
      <c r="D6" s="9" t="s">
        <v>10</v>
      </c>
      <c r="E6" s="14">
        <f t="shared" ref="E6:P6" si="2">ROUND(E4/$B$5,0)</f>
        <v>4000</v>
      </c>
      <c r="F6" s="14">
        <f t="shared" si="2"/>
        <v>4000</v>
      </c>
      <c r="G6" s="14">
        <f t="shared" si="2"/>
        <v>4000</v>
      </c>
      <c r="H6" s="14">
        <f t="shared" si="2"/>
        <v>4000</v>
      </c>
      <c r="I6" s="14">
        <f t="shared" si="2"/>
        <v>4000</v>
      </c>
      <c r="J6" s="14">
        <f t="shared" si="2"/>
        <v>4000</v>
      </c>
      <c r="K6" s="14">
        <f t="shared" si="2"/>
        <v>4000</v>
      </c>
      <c r="L6" s="14">
        <f t="shared" si="2"/>
        <v>4000</v>
      </c>
      <c r="M6" s="14">
        <f t="shared" si="2"/>
        <v>4000</v>
      </c>
      <c r="N6" s="14">
        <f t="shared" si="2"/>
        <v>4000</v>
      </c>
      <c r="O6" s="14">
        <f t="shared" si="2"/>
        <v>4000</v>
      </c>
      <c r="P6" s="14">
        <f t="shared" si="2"/>
        <v>4000</v>
      </c>
      <c r="S6" s="6" t="s">
        <v>11</v>
      </c>
    </row>
    <row r="7">
      <c r="A7" s="4" t="s">
        <v>12</v>
      </c>
      <c r="B7" s="15">
        <v>500.0</v>
      </c>
      <c r="D7" s="16" t="s">
        <v>12</v>
      </c>
      <c r="E7" s="17">
        <f>B7</f>
        <v>500</v>
      </c>
      <c r="F7" s="18">
        <f t="shared" ref="F7:P7" si="3">ROUND(E7*(1+$B$8),0)</f>
        <v>515</v>
      </c>
      <c r="G7" s="18">
        <f t="shared" si="3"/>
        <v>530</v>
      </c>
      <c r="H7" s="18">
        <f t="shared" si="3"/>
        <v>546</v>
      </c>
      <c r="I7" s="18">
        <f t="shared" si="3"/>
        <v>562</v>
      </c>
      <c r="J7" s="18">
        <f t="shared" si="3"/>
        <v>579</v>
      </c>
      <c r="K7" s="18">
        <f t="shared" si="3"/>
        <v>596</v>
      </c>
      <c r="L7" s="18">
        <f t="shared" si="3"/>
        <v>614</v>
      </c>
      <c r="M7" s="18">
        <f t="shared" si="3"/>
        <v>632</v>
      </c>
      <c r="N7" s="18">
        <f t="shared" si="3"/>
        <v>651</v>
      </c>
      <c r="O7" s="18">
        <f t="shared" si="3"/>
        <v>671</v>
      </c>
      <c r="P7" s="18">
        <f t="shared" si="3"/>
        <v>691</v>
      </c>
      <c r="S7" s="6" t="s">
        <v>13</v>
      </c>
    </row>
    <row r="8">
      <c r="A8" s="4" t="s">
        <v>14</v>
      </c>
      <c r="B8" s="19">
        <v>0.03</v>
      </c>
      <c r="D8" s="9" t="s">
        <v>15</v>
      </c>
      <c r="E8" s="14">
        <f t="shared" ref="E8:P8" si="4">E6+E7</f>
        <v>4500</v>
      </c>
      <c r="F8" s="14">
        <f t="shared" si="4"/>
        <v>4515</v>
      </c>
      <c r="G8" s="14">
        <f t="shared" si="4"/>
        <v>4530</v>
      </c>
      <c r="H8" s="14">
        <f t="shared" si="4"/>
        <v>4546</v>
      </c>
      <c r="I8" s="14">
        <f t="shared" si="4"/>
        <v>4562</v>
      </c>
      <c r="J8" s="14">
        <f t="shared" si="4"/>
        <v>4579</v>
      </c>
      <c r="K8" s="14">
        <f t="shared" si="4"/>
        <v>4596</v>
      </c>
      <c r="L8" s="14">
        <f t="shared" si="4"/>
        <v>4614</v>
      </c>
      <c r="M8" s="14">
        <f t="shared" si="4"/>
        <v>4632</v>
      </c>
      <c r="N8" s="14">
        <f t="shared" si="4"/>
        <v>4651</v>
      </c>
      <c r="O8" s="14">
        <f t="shared" si="4"/>
        <v>4671</v>
      </c>
      <c r="P8" s="14">
        <f t="shared" si="4"/>
        <v>4691</v>
      </c>
      <c r="S8" s="6" t="s">
        <v>16</v>
      </c>
    </row>
    <row r="9">
      <c r="A9" s="4" t="s">
        <v>17</v>
      </c>
      <c r="B9" s="20">
        <v>5.0</v>
      </c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>
      <c r="A10" s="4" t="s">
        <v>18</v>
      </c>
      <c r="B10" s="21">
        <v>0.032</v>
      </c>
      <c r="D10" s="9" t="s">
        <v>19</v>
      </c>
      <c r="E10" s="12">
        <f t="shared" ref="E10:P10" si="5">ROUND(E8*$B$10,0)</f>
        <v>144</v>
      </c>
      <c r="F10" s="12">
        <f t="shared" si="5"/>
        <v>144</v>
      </c>
      <c r="G10" s="12">
        <f t="shared" si="5"/>
        <v>145</v>
      </c>
      <c r="H10" s="12">
        <f t="shared" si="5"/>
        <v>145</v>
      </c>
      <c r="I10" s="12">
        <f t="shared" si="5"/>
        <v>146</v>
      </c>
      <c r="J10" s="12">
        <f t="shared" si="5"/>
        <v>147</v>
      </c>
      <c r="K10" s="12">
        <f t="shared" si="5"/>
        <v>147</v>
      </c>
      <c r="L10" s="12">
        <f t="shared" si="5"/>
        <v>148</v>
      </c>
      <c r="M10" s="12">
        <f t="shared" si="5"/>
        <v>148</v>
      </c>
      <c r="N10" s="12">
        <f t="shared" si="5"/>
        <v>149</v>
      </c>
      <c r="O10" s="12">
        <f t="shared" si="5"/>
        <v>149</v>
      </c>
      <c r="P10" s="12">
        <f t="shared" si="5"/>
        <v>150</v>
      </c>
      <c r="S10" s="3" t="s">
        <v>20</v>
      </c>
    </row>
    <row r="11">
      <c r="A11" s="4" t="s">
        <v>21</v>
      </c>
      <c r="B11" s="20">
        <v>31.33</v>
      </c>
      <c r="D11" s="6" t="s">
        <v>22</v>
      </c>
      <c r="E11" s="22">
        <f t="shared" ref="E11:P11" si="6">if($B$30&lt;E3,round(E10*(1-$B$35),0),0)</f>
        <v>0</v>
      </c>
      <c r="F11" s="22">
        <f t="shared" si="6"/>
        <v>0</v>
      </c>
      <c r="G11" s="22">
        <f t="shared" si="6"/>
        <v>0</v>
      </c>
      <c r="H11" s="22">
        <f t="shared" si="6"/>
        <v>58</v>
      </c>
      <c r="I11" s="22">
        <f t="shared" si="6"/>
        <v>58</v>
      </c>
      <c r="J11" s="22">
        <f t="shared" si="6"/>
        <v>59</v>
      </c>
      <c r="K11" s="22">
        <f t="shared" si="6"/>
        <v>59</v>
      </c>
      <c r="L11" s="22">
        <f t="shared" si="6"/>
        <v>59</v>
      </c>
      <c r="M11" s="22">
        <f t="shared" si="6"/>
        <v>59</v>
      </c>
      <c r="N11" s="22">
        <f t="shared" si="6"/>
        <v>60</v>
      </c>
      <c r="O11" s="22">
        <f t="shared" si="6"/>
        <v>60</v>
      </c>
      <c r="P11" s="22">
        <f t="shared" si="6"/>
        <v>60</v>
      </c>
      <c r="S11" s="6" t="s">
        <v>23</v>
      </c>
    </row>
    <row r="12">
      <c r="A12" s="3" t="s">
        <v>24</v>
      </c>
      <c r="B12" s="23">
        <f>B3/((B3/B5)*B10)</f>
        <v>23.4375</v>
      </c>
      <c r="D12" s="16" t="s">
        <v>25</v>
      </c>
      <c r="E12" s="24"/>
      <c r="F12" s="24"/>
      <c r="G12" s="25">
        <f>F11*$B$36</f>
        <v>0</v>
      </c>
      <c r="H12" s="25">
        <f>G11*$B$36+G12-F12</f>
        <v>0</v>
      </c>
      <c r="I12" s="25">
        <f>H11*$B$36+H12</f>
        <v>29</v>
      </c>
      <c r="J12" s="25">
        <f t="shared" ref="J12:K12" si="7">I11*$B$36+I12*$B$36</f>
        <v>43.5</v>
      </c>
      <c r="K12" s="25">
        <f t="shared" si="7"/>
        <v>51.25</v>
      </c>
      <c r="L12" s="25">
        <f t="shared" ref="L12:P12" si="8">round(K11*$B$36+K12*$B$36,0)</f>
        <v>55</v>
      </c>
      <c r="M12" s="25">
        <f t="shared" si="8"/>
        <v>57</v>
      </c>
      <c r="N12" s="25">
        <f t="shared" si="8"/>
        <v>58</v>
      </c>
      <c r="O12" s="25">
        <f t="shared" si="8"/>
        <v>59</v>
      </c>
      <c r="P12" s="25">
        <f t="shared" si="8"/>
        <v>60</v>
      </c>
      <c r="S12" s="6" t="s">
        <v>26</v>
      </c>
    </row>
    <row r="13">
      <c r="A13" s="6"/>
      <c r="D13" s="9"/>
      <c r="G13" s="12"/>
      <c r="H13" s="12"/>
      <c r="I13" s="26"/>
      <c r="J13" s="26"/>
      <c r="K13" s="26"/>
      <c r="L13" s="26"/>
      <c r="M13" s="26"/>
      <c r="N13" s="26"/>
      <c r="O13" s="26"/>
      <c r="P13" s="26"/>
      <c r="S13" s="6" t="s">
        <v>27</v>
      </c>
    </row>
    <row r="14">
      <c r="A14" s="6" t="s">
        <v>28</v>
      </c>
      <c r="B14" s="27">
        <v>6.0</v>
      </c>
      <c r="D14" s="9" t="s">
        <v>29</v>
      </c>
      <c r="E14" s="12">
        <f t="shared" ref="E14:P14" si="9">SUM(E10:E12)</f>
        <v>144</v>
      </c>
      <c r="F14" s="12">
        <f t="shared" si="9"/>
        <v>144</v>
      </c>
      <c r="G14" s="12">
        <f t="shared" si="9"/>
        <v>145</v>
      </c>
      <c r="H14" s="12">
        <f t="shared" si="9"/>
        <v>203</v>
      </c>
      <c r="I14" s="12">
        <f t="shared" si="9"/>
        <v>233</v>
      </c>
      <c r="J14" s="12">
        <f t="shared" si="9"/>
        <v>249.5</v>
      </c>
      <c r="K14" s="12">
        <f t="shared" si="9"/>
        <v>257.25</v>
      </c>
      <c r="L14" s="12">
        <f t="shared" si="9"/>
        <v>262</v>
      </c>
      <c r="M14" s="12">
        <f t="shared" si="9"/>
        <v>264</v>
      </c>
      <c r="N14" s="12">
        <f t="shared" si="9"/>
        <v>267</v>
      </c>
      <c r="O14" s="12">
        <f t="shared" si="9"/>
        <v>268</v>
      </c>
      <c r="P14" s="12">
        <f t="shared" si="9"/>
        <v>270</v>
      </c>
      <c r="S14" s="6" t="s">
        <v>30</v>
      </c>
    </row>
    <row r="15">
      <c r="A15" s="6" t="s">
        <v>31</v>
      </c>
      <c r="B15" s="27">
        <v>12000.0</v>
      </c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S15" s="6" t="s">
        <v>32</v>
      </c>
    </row>
    <row r="16">
      <c r="A16" s="28" t="s">
        <v>33</v>
      </c>
      <c r="B16" s="29"/>
      <c r="D16" s="6" t="s">
        <v>34</v>
      </c>
      <c r="E16" s="30">
        <f t="shared" ref="E16:P16" si="10">E10*$B$11</f>
        <v>4511.52</v>
      </c>
      <c r="F16" s="30">
        <f t="shared" si="10"/>
        <v>4511.52</v>
      </c>
      <c r="G16" s="30">
        <f t="shared" si="10"/>
        <v>4542.85</v>
      </c>
      <c r="H16" s="30">
        <f t="shared" si="10"/>
        <v>4542.85</v>
      </c>
      <c r="I16" s="30">
        <f t="shared" si="10"/>
        <v>4574.18</v>
      </c>
      <c r="J16" s="30">
        <f t="shared" si="10"/>
        <v>4605.51</v>
      </c>
      <c r="K16" s="30">
        <f t="shared" si="10"/>
        <v>4605.51</v>
      </c>
      <c r="L16" s="30">
        <f t="shared" si="10"/>
        <v>4636.84</v>
      </c>
      <c r="M16" s="30">
        <f t="shared" si="10"/>
        <v>4636.84</v>
      </c>
      <c r="N16" s="30">
        <f t="shared" si="10"/>
        <v>4668.17</v>
      </c>
      <c r="O16" s="30">
        <f t="shared" si="10"/>
        <v>4668.17</v>
      </c>
      <c r="P16" s="30">
        <f t="shared" si="10"/>
        <v>4699.5</v>
      </c>
      <c r="S16" s="6" t="s">
        <v>35</v>
      </c>
    </row>
    <row r="17">
      <c r="A17" s="28" t="s">
        <v>36</v>
      </c>
      <c r="B17" s="29"/>
      <c r="D17" s="6" t="s">
        <v>37</v>
      </c>
      <c r="E17" s="31">
        <f t="shared" ref="E17:P17" si="11">SUM(E11,E12)*$B$31</f>
        <v>0</v>
      </c>
      <c r="F17" s="31">
        <f t="shared" si="11"/>
        <v>0</v>
      </c>
      <c r="G17" s="31">
        <f t="shared" si="11"/>
        <v>0</v>
      </c>
      <c r="H17" s="31">
        <f t="shared" si="11"/>
        <v>1817.14</v>
      </c>
      <c r="I17" s="31">
        <f t="shared" si="11"/>
        <v>2725.71</v>
      </c>
      <c r="J17" s="31">
        <f t="shared" si="11"/>
        <v>3211.325</v>
      </c>
      <c r="K17" s="31">
        <f t="shared" si="11"/>
        <v>3454.1325</v>
      </c>
      <c r="L17" s="31">
        <f t="shared" si="11"/>
        <v>3571.62</v>
      </c>
      <c r="M17" s="31">
        <f t="shared" si="11"/>
        <v>3634.28</v>
      </c>
      <c r="N17" s="31">
        <f t="shared" si="11"/>
        <v>3696.94</v>
      </c>
      <c r="O17" s="31">
        <f t="shared" si="11"/>
        <v>3728.27</v>
      </c>
      <c r="P17" s="31">
        <f t="shared" si="11"/>
        <v>3759.6</v>
      </c>
      <c r="S17" s="6" t="s">
        <v>38</v>
      </c>
    </row>
    <row r="18">
      <c r="A18" s="32" t="s">
        <v>39</v>
      </c>
      <c r="B18" s="5">
        <v>1.593</v>
      </c>
      <c r="D18" s="6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>
      <c r="A19" s="33" t="s">
        <v>40</v>
      </c>
      <c r="B19" s="34">
        <f>(B18*B14)+B17</f>
        <v>9.558</v>
      </c>
    </row>
    <row r="20">
      <c r="A20" s="35"/>
      <c r="B20" s="35"/>
      <c r="D20" s="9" t="s">
        <v>41</v>
      </c>
      <c r="E20" s="30">
        <f t="shared" ref="E20:P20" si="12">sum(E16:E17)</f>
        <v>4511.52</v>
      </c>
      <c r="F20" s="30">
        <f t="shared" si="12"/>
        <v>4511.52</v>
      </c>
      <c r="G20" s="30">
        <f t="shared" si="12"/>
        <v>4542.85</v>
      </c>
      <c r="H20" s="30">
        <f t="shared" si="12"/>
        <v>6359.99</v>
      </c>
      <c r="I20" s="30">
        <f t="shared" si="12"/>
        <v>7299.89</v>
      </c>
      <c r="J20" s="30">
        <f t="shared" si="12"/>
        <v>7816.835</v>
      </c>
      <c r="K20" s="30">
        <f t="shared" si="12"/>
        <v>8059.6425</v>
      </c>
      <c r="L20" s="30">
        <f t="shared" si="12"/>
        <v>8208.46</v>
      </c>
      <c r="M20" s="30">
        <f t="shared" si="12"/>
        <v>8271.12</v>
      </c>
      <c r="N20" s="30">
        <f t="shared" si="12"/>
        <v>8365.11</v>
      </c>
      <c r="O20" s="30">
        <f t="shared" si="12"/>
        <v>8396.44</v>
      </c>
      <c r="P20" s="30">
        <f t="shared" si="12"/>
        <v>8459.1</v>
      </c>
    </row>
    <row r="21">
      <c r="A21" s="36" t="s">
        <v>42</v>
      </c>
      <c r="B21" s="37">
        <v>0.0</v>
      </c>
      <c r="D21" s="9" t="s">
        <v>43</v>
      </c>
      <c r="E21" s="30">
        <f t="shared" ref="E21:P21" si="13">-(E20*$B$21)</f>
        <v>0</v>
      </c>
      <c r="F21" s="30">
        <f t="shared" si="13"/>
        <v>0</v>
      </c>
      <c r="G21" s="30">
        <f t="shared" si="13"/>
        <v>0</v>
      </c>
      <c r="H21" s="30">
        <f t="shared" si="13"/>
        <v>0</v>
      </c>
      <c r="I21" s="30">
        <f t="shared" si="13"/>
        <v>0</v>
      </c>
      <c r="J21" s="30">
        <f t="shared" si="13"/>
        <v>0</v>
      </c>
      <c r="K21" s="30">
        <f t="shared" si="13"/>
        <v>0</v>
      </c>
      <c r="L21" s="30">
        <f t="shared" si="13"/>
        <v>0</v>
      </c>
      <c r="M21" s="30">
        <f t="shared" si="13"/>
        <v>0</v>
      </c>
      <c r="N21" s="30">
        <f t="shared" si="13"/>
        <v>0</v>
      </c>
      <c r="O21" s="30">
        <f t="shared" si="13"/>
        <v>0</v>
      </c>
      <c r="P21" s="30">
        <f t="shared" si="13"/>
        <v>0</v>
      </c>
    </row>
    <row r="22">
      <c r="A22" s="36" t="s">
        <v>44</v>
      </c>
      <c r="B22" s="8">
        <v>0.0</v>
      </c>
      <c r="D22" s="9" t="s">
        <v>45</v>
      </c>
      <c r="E22" s="30">
        <f t="shared" ref="E22:P22" si="14">-(E20*$B$22)</f>
        <v>0</v>
      </c>
      <c r="F22" s="30">
        <f t="shared" si="14"/>
        <v>0</v>
      </c>
      <c r="G22" s="30">
        <f t="shared" si="14"/>
        <v>0</v>
      </c>
      <c r="H22" s="30">
        <f t="shared" si="14"/>
        <v>0</v>
      </c>
      <c r="I22" s="30">
        <f t="shared" si="14"/>
        <v>0</v>
      </c>
      <c r="J22" s="30">
        <f t="shared" si="14"/>
        <v>0</v>
      </c>
      <c r="K22" s="30">
        <f t="shared" si="14"/>
        <v>0</v>
      </c>
      <c r="L22" s="30">
        <f t="shared" si="14"/>
        <v>0</v>
      </c>
      <c r="M22" s="30">
        <f t="shared" si="14"/>
        <v>0</v>
      </c>
      <c r="N22" s="30">
        <f t="shared" si="14"/>
        <v>0</v>
      </c>
      <c r="O22" s="30">
        <f t="shared" si="14"/>
        <v>0</v>
      </c>
      <c r="P22" s="30">
        <f t="shared" si="14"/>
        <v>0</v>
      </c>
    </row>
    <row r="23">
      <c r="A23" s="36"/>
      <c r="B23" s="38"/>
      <c r="D23" s="39" t="s">
        <v>46</v>
      </c>
      <c r="E23" s="40">
        <f t="shared" ref="E23:P23" si="15">SUM(E20:E22)</f>
        <v>4511.52</v>
      </c>
      <c r="F23" s="40">
        <f t="shared" si="15"/>
        <v>4511.52</v>
      </c>
      <c r="G23" s="40">
        <f t="shared" si="15"/>
        <v>4542.85</v>
      </c>
      <c r="H23" s="40">
        <f t="shared" si="15"/>
        <v>6359.99</v>
      </c>
      <c r="I23" s="40">
        <f t="shared" si="15"/>
        <v>7299.89</v>
      </c>
      <c r="J23" s="40">
        <f t="shared" si="15"/>
        <v>7816.835</v>
      </c>
      <c r="K23" s="40">
        <f t="shared" si="15"/>
        <v>8059.6425</v>
      </c>
      <c r="L23" s="40">
        <f t="shared" si="15"/>
        <v>8208.46</v>
      </c>
      <c r="M23" s="40">
        <f t="shared" si="15"/>
        <v>8271.12</v>
      </c>
      <c r="N23" s="40">
        <f t="shared" si="15"/>
        <v>8365.11</v>
      </c>
      <c r="O23" s="40">
        <f t="shared" si="15"/>
        <v>8396.44</v>
      </c>
      <c r="P23" s="40">
        <f t="shared" si="15"/>
        <v>8459.1</v>
      </c>
    </row>
    <row r="24">
      <c r="A24" s="36" t="s">
        <v>47</v>
      </c>
      <c r="B24" s="34">
        <v>0.3</v>
      </c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36" t="s">
        <v>48</v>
      </c>
      <c r="B25" s="37">
        <v>0.029</v>
      </c>
      <c r="D25" s="9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41" t="s">
        <v>49</v>
      </c>
      <c r="B26" s="42">
        <v>1.5</v>
      </c>
      <c r="D26" s="3"/>
    </row>
    <row r="27">
      <c r="A27" s="41" t="s">
        <v>50</v>
      </c>
      <c r="B27" s="42"/>
    </row>
    <row r="28">
      <c r="A28" s="41" t="s">
        <v>51</v>
      </c>
      <c r="B28" s="42">
        <f>0.7*1.15</f>
        <v>0.805</v>
      </c>
      <c r="D28" s="43" t="s">
        <v>52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>
      <c r="A29" s="36"/>
      <c r="D29" s="9" t="s">
        <v>53</v>
      </c>
      <c r="E29" s="30">
        <f t="shared" ref="E29:F29" si="16">-E10*$B$19</f>
        <v>-1376.352</v>
      </c>
      <c r="F29" s="30">
        <f t="shared" si="16"/>
        <v>-1376.352</v>
      </c>
      <c r="G29" s="30">
        <f>-(G10*$B$19)</f>
        <v>-1385.91</v>
      </c>
      <c r="H29" s="30">
        <f t="shared" ref="H29:P29" si="17">-H10*$B$19</f>
        <v>-1385.91</v>
      </c>
      <c r="I29" s="30">
        <f t="shared" si="17"/>
        <v>-1395.468</v>
      </c>
      <c r="J29" s="30">
        <f t="shared" si="17"/>
        <v>-1405.026</v>
      </c>
      <c r="K29" s="30">
        <f t="shared" si="17"/>
        <v>-1405.026</v>
      </c>
      <c r="L29" s="30">
        <f t="shared" si="17"/>
        <v>-1414.584</v>
      </c>
      <c r="M29" s="30">
        <f t="shared" si="17"/>
        <v>-1414.584</v>
      </c>
      <c r="N29" s="30">
        <f t="shared" si="17"/>
        <v>-1424.142</v>
      </c>
      <c r="O29" s="30">
        <f t="shared" si="17"/>
        <v>-1424.142</v>
      </c>
      <c r="P29" s="30">
        <f t="shared" si="17"/>
        <v>-1433.7</v>
      </c>
    </row>
    <row r="30">
      <c r="A30" s="36" t="s">
        <v>54</v>
      </c>
      <c r="B30" s="44">
        <v>3.0</v>
      </c>
      <c r="D30" s="6" t="s">
        <v>55</v>
      </c>
      <c r="E30" s="45">
        <f t="shared" ref="E30:P30" si="18">-(E11+E12)*$B$34</f>
        <v>0</v>
      </c>
      <c r="F30" s="45">
        <f t="shared" si="18"/>
        <v>0</v>
      </c>
      <c r="G30" s="45">
        <f t="shared" si="18"/>
        <v>0</v>
      </c>
      <c r="H30" s="45">
        <f t="shared" si="18"/>
        <v>-554.364</v>
      </c>
      <c r="I30" s="45">
        <f t="shared" si="18"/>
        <v>-831.546</v>
      </c>
      <c r="J30" s="45">
        <f t="shared" si="18"/>
        <v>-979.695</v>
      </c>
      <c r="K30" s="45">
        <f t="shared" si="18"/>
        <v>-1053.7695</v>
      </c>
      <c r="L30" s="45">
        <f t="shared" si="18"/>
        <v>-1089.612</v>
      </c>
      <c r="M30" s="45">
        <f t="shared" si="18"/>
        <v>-1108.728</v>
      </c>
      <c r="N30" s="45">
        <f t="shared" si="18"/>
        <v>-1127.844</v>
      </c>
      <c r="O30" s="45">
        <f t="shared" si="18"/>
        <v>-1137.402</v>
      </c>
      <c r="P30" s="45">
        <f t="shared" si="18"/>
        <v>-1146.96</v>
      </c>
    </row>
    <row r="31">
      <c r="A31" s="46" t="s">
        <v>56</v>
      </c>
      <c r="B31" s="47">
        <v>31.33</v>
      </c>
      <c r="D31" s="9" t="s">
        <v>57</v>
      </c>
      <c r="E31" s="30">
        <f>-(E23*$B$25)+(E10*$B$24)</f>
        <v>-87.63408</v>
      </c>
      <c r="F31" s="30">
        <f t="shared" ref="F31:P31" si="19">-(F23*$B$25)</f>
        <v>-130.83408</v>
      </c>
      <c r="G31" s="30">
        <f t="shared" si="19"/>
        <v>-131.74265</v>
      </c>
      <c r="H31" s="30">
        <f t="shared" si="19"/>
        <v>-184.43971</v>
      </c>
      <c r="I31" s="30">
        <f t="shared" si="19"/>
        <v>-211.69681</v>
      </c>
      <c r="J31" s="30">
        <f t="shared" si="19"/>
        <v>-226.688215</v>
      </c>
      <c r="K31" s="30">
        <f t="shared" si="19"/>
        <v>-233.7296325</v>
      </c>
      <c r="L31" s="30">
        <f t="shared" si="19"/>
        <v>-238.04534</v>
      </c>
      <c r="M31" s="30">
        <f t="shared" si="19"/>
        <v>-239.86248</v>
      </c>
      <c r="N31" s="30">
        <f t="shared" si="19"/>
        <v>-242.58819</v>
      </c>
      <c r="O31" s="30">
        <f t="shared" si="19"/>
        <v>-243.49676</v>
      </c>
      <c r="P31" s="30">
        <f t="shared" si="19"/>
        <v>-245.3139</v>
      </c>
    </row>
    <row r="32">
      <c r="A32" s="6" t="s">
        <v>58</v>
      </c>
      <c r="B32" s="6">
        <v>6.0</v>
      </c>
      <c r="D32" s="9" t="s">
        <v>59</v>
      </c>
      <c r="E32" s="30">
        <f t="shared" ref="E32:P32" si="20">-((E14*$B$23)+($B$26*E14)+($B$27*E14)+($B$28*E14))</f>
        <v>-331.92</v>
      </c>
      <c r="F32" s="30">
        <f t="shared" si="20"/>
        <v>-331.92</v>
      </c>
      <c r="G32" s="30">
        <f t="shared" si="20"/>
        <v>-334.225</v>
      </c>
      <c r="H32" s="30">
        <f t="shared" si="20"/>
        <v>-467.915</v>
      </c>
      <c r="I32" s="30">
        <f t="shared" si="20"/>
        <v>-537.065</v>
      </c>
      <c r="J32" s="30">
        <f t="shared" si="20"/>
        <v>-575.0975</v>
      </c>
      <c r="K32" s="30">
        <f t="shared" si="20"/>
        <v>-592.96125</v>
      </c>
      <c r="L32" s="30">
        <f t="shared" si="20"/>
        <v>-603.91</v>
      </c>
      <c r="M32" s="30">
        <f t="shared" si="20"/>
        <v>-608.52</v>
      </c>
      <c r="N32" s="30">
        <f t="shared" si="20"/>
        <v>-615.435</v>
      </c>
      <c r="O32" s="30">
        <f t="shared" si="20"/>
        <v>-617.74</v>
      </c>
      <c r="P32" s="30">
        <f t="shared" si="20"/>
        <v>-622.35</v>
      </c>
    </row>
    <row r="34">
      <c r="A34" s="46" t="s">
        <v>55</v>
      </c>
      <c r="B34" s="48">
        <f>(B32*B17)+(B18*B32)</f>
        <v>9.558</v>
      </c>
      <c r="D34" s="39" t="s">
        <v>60</v>
      </c>
      <c r="E34" s="40">
        <f t="shared" ref="E34:P34" si="21">sum(E29:E32)</f>
        <v>-1795.90608</v>
      </c>
      <c r="F34" s="40">
        <f t="shared" si="21"/>
        <v>-1839.10608</v>
      </c>
      <c r="G34" s="40">
        <f t="shared" si="21"/>
        <v>-1851.87765</v>
      </c>
      <c r="H34" s="40">
        <f t="shared" si="21"/>
        <v>-2592.62871</v>
      </c>
      <c r="I34" s="40">
        <f t="shared" si="21"/>
        <v>-2975.77581</v>
      </c>
      <c r="J34" s="40">
        <f t="shared" si="21"/>
        <v>-3186.506715</v>
      </c>
      <c r="K34" s="40">
        <f t="shared" si="21"/>
        <v>-3285.486383</v>
      </c>
      <c r="L34" s="40">
        <f t="shared" si="21"/>
        <v>-3346.15134</v>
      </c>
      <c r="M34" s="40">
        <f t="shared" si="21"/>
        <v>-3371.69448</v>
      </c>
      <c r="N34" s="40">
        <f t="shared" si="21"/>
        <v>-3410.00919</v>
      </c>
      <c r="O34" s="40">
        <f t="shared" si="21"/>
        <v>-3422.78076</v>
      </c>
      <c r="P34" s="40">
        <f t="shared" si="21"/>
        <v>-3448.3239</v>
      </c>
    </row>
    <row r="35">
      <c r="A35" s="36" t="s">
        <v>61</v>
      </c>
      <c r="B35" s="49">
        <v>0.6</v>
      </c>
      <c r="D35" s="4"/>
    </row>
    <row r="36">
      <c r="A36" s="36" t="s">
        <v>62</v>
      </c>
      <c r="B36" s="49">
        <v>0.5</v>
      </c>
      <c r="D36" s="39" t="s">
        <v>63</v>
      </c>
      <c r="E36" s="40">
        <f>E23+E34</f>
        <v>2715.61392</v>
      </c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</row>
    <row r="37">
      <c r="A37" s="50"/>
      <c r="B37" s="51"/>
      <c r="D37" s="9" t="s">
        <v>64</v>
      </c>
      <c r="E37" s="52">
        <f>E36/E23</f>
        <v>0.6019288222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>
      <c r="A38" s="50" t="s">
        <v>65</v>
      </c>
      <c r="B38" s="51">
        <v>2.0</v>
      </c>
      <c r="D38" s="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</row>
    <row r="39">
      <c r="A39" s="35"/>
      <c r="B39" s="35"/>
      <c r="D39" s="3" t="s">
        <v>66</v>
      </c>
    </row>
    <row r="40">
      <c r="A40" s="36" t="s">
        <v>67</v>
      </c>
      <c r="B40" s="37">
        <v>0.0</v>
      </c>
      <c r="D40" s="53" t="s">
        <v>68</v>
      </c>
    </row>
    <row r="41">
      <c r="A41" s="35"/>
      <c r="B41" s="35"/>
      <c r="D41" s="6" t="s">
        <v>69</v>
      </c>
      <c r="E41" s="10">
        <f t="shared" ref="E41:P41" si="22">-(38+100)</f>
        <v>-138</v>
      </c>
      <c r="F41" s="10">
        <f t="shared" si="22"/>
        <v>-138</v>
      </c>
      <c r="G41" s="10">
        <f t="shared" si="22"/>
        <v>-138</v>
      </c>
      <c r="H41" s="10">
        <f t="shared" si="22"/>
        <v>-138</v>
      </c>
      <c r="I41" s="10">
        <f t="shared" si="22"/>
        <v>-138</v>
      </c>
      <c r="J41" s="10">
        <f t="shared" si="22"/>
        <v>-138</v>
      </c>
      <c r="K41" s="10">
        <f t="shared" si="22"/>
        <v>-138</v>
      </c>
      <c r="L41" s="10">
        <f t="shared" si="22"/>
        <v>-138</v>
      </c>
      <c r="M41" s="10">
        <f t="shared" si="22"/>
        <v>-138</v>
      </c>
      <c r="N41" s="10">
        <f t="shared" si="22"/>
        <v>-138</v>
      </c>
      <c r="O41" s="10">
        <f t="shared" si="22"/>
        <v>-138</v>
      </c>
      <c r="P41" s="10">
        <f t="shared" si="22"/>
        <v>-138</v>
      </c>
    </row>
    <row r="42">
      <c r="A42" s="35"/>
      <c r="B42" s="35"/>
      <c r="D42" s="6" t="s">
        <v>70</v>
      </c>
      <c r="E42" s="10">
        <v>-79.0</v>
      </c>
      <c r="F42" s="10">
        <v>-99.0</v>
      </c>
      <c r="G42" s="10">
        <v>-99.0</v>
      </c>
      <c r="H42" s="10">
        <v>-99.0</v>
      </c>
      <c r="I42" s="10">
        <v>-99.0</v>
      </c>
      <c r="J42" s="10">
        <v>-99.0</v>
      </c>
      <c r="K42" s="10">
        <v>-99.0</v>
      </c>
      <c r="L42" s="10">
        <v>-99.0</v>
      </c>
      <c r="M42" s="10">
        <v>-99.0</v>
      </c>
      <c r="N42" s="10">
        <v>-99.0</v>
      </c>
      <c r="O42" s="10">
        <v>-99.0</v>
      </c>
      <c r="P42" s="10">
        <v>-99.0</v>
      </c>
    </row>
    <row r="43">
      <c r="A43" s="54" t="s">
        <v>71</v>
      </c>
      <c r="B43" s="35"/>
      <c r="D43" s="6" t="s">
        <v>72</v>
      </c>
      <c r="E43" s="10">
        <v>0.0</v>
      </c>
      <c r="F43" s="10">
        <v>0.0</v>
      </c>
      <c r="G43" s="10">
        <v>0.0</v>
      </c>
      <c r="H43" s="30">
        <f t="shared" ref="H43:P43" si="23">-(45*1.3)</f>
        <v>-58.5</v>
      </c>
      <c r="I43" s="30">
        <f t="shared" si="23"/>
        <v>-58.5</v>
      </c>
      <c r="J43" s="30">
        <f t="shared" si="23"/>
        <v>-58.5</v>
      </c>
      <c r="K43" s="30">
        <f t="shared" si="23"/>
        <v>-58.5</v>
      </c>
      <c r="L43" s="30">
        <f t="shared" si="23"/>
        <v>-58.5</v>
      </c>
      <c r="M43" s="30">
        <f t="shared" si="23"/>
        <v>-58.5</v>
      </c>
      <c r="N43" s="30">
        <f t="shared" si="23"/>
        <v>-58.5</v>
      </c>
      <c r="O43" s="30">
        <f t="shared" si="23"/>
        <v>-58.5</v>
      </c>
      <c r="P43" s="30">
        <f t="shared" si="23"/>
        <v>-58.5</v>
      </c>
    </row>
    <row r="44">
      <c r="A44" s="36" t="s">
        <v>73</v>
      </c>
      <c r="B44" s="55">
        <f>1/B35</f>
        <v>1.666666667</v>
      </c>
      <c r="D44" s="56"/>
      <c r="E44" s="40">
        <f t="shared" ref="E44:P44" si="24">SUM(E41:E43)</f>
        <v>-217</v>
      </c>
      <c r="F44" s="40">
        <f t="shared" si="24"/>
        <v>-237</v>
      </c>
      <c r="G44" s="40">
        <f t="shared" si="24"/>
        <v>-237</v>
      </c>
      <c r="H44" s="40">
        <f t="shared" si="24"/>
        <v>-295.5</v>
      </c>
      <c r="I44" s="40">
        <f t="shared" si="24"/>
        <v>-295.5</v>
      </c>
      <c r="J44" s="40">
        <f t="shared" si="24"/>
        <v>-295.5</v>
      </c>
      <c r="K44" s="40">
        <f t="shared" si="24"/>
        <v>-295.5</v>
      </c>
      <c r="L44" s="40">
        <f t="shared" si="24"/>
        <v>-295.5</v>
      </c>
      <c r="M44" s="40">
        <f t="shared" si="24"/>
        <v>-295.5</v>
      </c>
      <c r="N44" s="40">
        <f t="shared" si="24"/>
        <v>-295.5</v>
      </c>
      <c r="O44" s="40">
        <f t="shared" si="24"/>
        <v>-295.5</v>
      </c>
      <c r="P44" s="40">
        <f t="shared" si="24"/>
        <v>-295.5</v>
      </c>
      <c r="U44" s="56"/>
    </row>
    <row r="45">
      <c r="A45" s="7" t="s">
        <v>74</v>
      </c>
      <c r="B45" s="57">
        <f>((B11*(1-(B21+B22+B25)))-B19)/B11</f>
        <v>0.665924992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36" t="s">
        <v>75</v>
      </c>
      <c r="B46" s="58">
        <f>B11+B31*B38</f>
        <v>93.99</v>
      </c>
      <c r="D46" s="53" t="s">
        <v>76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36" t="s">
        <v>77</v>
      </c>
      <c r="B47" s="58">
        <f>B46*B45</f>
        <v>62.59029</v>
      </c>
      <c r="D47" s="4" t="s">
        <v>78</v>
      </c>
      <c r="E47" s="30">
        <f t="shared" ref="E47:P47" si="25">-($B$59+$B$60)/12</f>
        <v>0</v>
      </c>
      <c r="F47" s="30">
        <f t="shared" si="25"/>
        <v>0</v>
      </c>
      <c r="G47" s="30">
        <f t="shared" si="25"/>
        <v>0</v>
      </c>
      <c r="H47" s="30">
        <f t="shared" si="25"/>
        <v>0</v>
      </c>
      <c r="I47" s="30">
        <f t="shared" si="25"/>
        <v>0</v>
      </c>
      <c r="J47" s="30">
        <f t="shared" si="25"/>
        <v>0</v>
      </c>
      <c r="K47" s="30">
        <f t="shared" si="25"/>
        <v>0</v>
      </c>
      <c r="L47" s="30">
        <f t="shared" si="25"/>
        <v>0</v>
      </c>
      <c r="M47" s="30">
        <f t="shared" si="25"/>
        <v>0</v>
      </c>
      <c r="N47" s="30">
        <f t="shared" si="25"/>
        <v>0</v>
      </c>
      <c r="O47" s="30">
        <f t="shared" si="25"/>
        <v>0</v>
      </c>
      <c r="P47" s="30">
        <f t="shared" si="25"/>
        <v>0</v>
      </c>
      <c r="U47" s="10" t="s">
        <v>79</v>
      </c>
    </row>
    <row r="48">
      <c r="A48" s="36"/>
      <c r="B48" s="58"/>
      <c r="D48" s="6" t="s">
        <v>80</v>
      </c>
      <c r="E48" s="30">
        <f t="shared" ref="E48:P48" si="26">-$B$58/12</f>
        <v>-150</v>
      </c>
      <c r="F48" s="30">
        <f t="shared" si="26"/>
        <v>-150</v>
      </c>
      <c r="G48" s="30">
        <f t="shared" si="26"/>
        <v>-150</v>
      </c>
      <c r="H48" s="30">
        <f t="shared" si="26"/>
        <v>-150</v>
      </c>
      <c r="I48" s="30">
        <f t="shared" si="26"/>
        <v>-150</v>
      </c>
      <c r="J48" s="30">
        <f t="shared" si="26"/>
        <v>-150</v>
      </c>
      <c r="K48" s="30">
        <f t="shared" si="26"/>
        <v>-150</v>
      </c>
      <c r="L48" s="30">
        <f t="shared" si="26"/>
        <v>-150</v>
      </c>
      <c r="M48" s="30">
        <f t="shared" si="26"/>
        <v>-150</v>
      </c>
      <c r="N48" s="30">
        <f t="shared" si="26"/>
        <v>-150</v>
      </c>
      <c r="O48" s="30">
        <f t="shared" si="26"/>
        <v>-150</v>
      </c>
      <c r="P48" s="30">
        <f t="shared" si="26"/>
        <v>-150</v>
      </c>
    </row>
    <row r="49">
      <c r="A49" s="33" t="s">
        <v>81</v>
      </c>
      <c r="B49" s="58"/>
      <c r="D49" s="56"/>
      <c r="E49" s="40">
        <f t="shared" ref="E49:P49" si="27">sum(E47:E48)</f>
        <v>-150</v>
      </c>
      <c r="F49" s="40">
        <f t="shared" si="27"/>
        <v>-150</v>
      </c>
      <c r="G49" s="40">
        <f t="shared" si="27"/>
        <v>-150</v>
      </c>
      <c r="H49" s="40">
        <f t="shared" si="27"/>
        <v>-150</v>
      </c>
      <c r="I49" s="40">
        <f t="shared" si="27"/>
        <v>-150</v>
      </c>
      <c r="J49" s="40">
        <f t="shared" si="27"/>
        <v>-150</v>
      </c>
      <c r="K49" s="40">
        <f t="shared" si="27"/>
        <v>-150</v>
      </c>
      <c r="L49" s="40">
        <f t="shared" si="27"/>
        <v>-150</v>
      </c>
      <c r="M49" s="40">
        <f t="shared" si="27"/>
        <v>-150</v>
      </c>
      <c r="N49" s="40">
        <f t="shared" si="27"/>
        <v>-150</v>
      </c>
      <c r="O49" s="40">
        <f t="shared" si="27"/>
        <v>-150</v>
      </c>
      <c r="P49" s="40">
        <f t="shared" si="27"/>
        <v>-150</v>
      </c>
    </row>
    <row r="50">
      <c r="A50" s="3" t="s">
        <v>82</v>
      </c>
      <c r="B50" s="59">
        <v>4.0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33" t="s">
        <v>83</v>
      </c>
      <c r="B51" s="60">
        <v>0.45</v>
      </c>
      <c r="D51" s="53" t="s">
        <v>84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>
      <c r="A52" s="33" t="s">
        <v>85</v>
      </c>
      <c r="B52" s="61">
        <v>0.25</v>
      </c>
      <c r="D52" s="4" t="s">
        <v>81</v>
      </c>
      <c r="E52" s="62">
        <f t="shared" ref="E52:P52" si="28">-($B$54+$B$55)*4</f>
        <v>-150.42</v>
      </c>
      <c r="F52" s="62">
        <f t="shared" si="28"/>
        <v>-150.42</v>
      </c>
      <c r="G52" s="62">
        <f t="shared" si="28"/>
        <v>-150.42</v>
      </c>
      <c r="H52" s="62">
        <f t="shared" si="28"/>
        <v>-150.42</v>
      </c>
      <c r="I52" s="62">
        <f t="shared" si="28"/>
        <v>-150.42</v>
      </c>
      <c r="J52" s="62">
        <f t="shared" si="28"/>
        <v>-150.42</v>
      </c>
      <c r="K52" s="62">
        <f t="shared" si="28"/>
        <v>-150.42</v>
      </c>
      <c r="L52" s="62">
        <f t="shared" si="28"/>
        <v>-150.42</v>
      </c>
      <c r="M52" s="62">
        <f t="shared" si="28"/>
        <v>-150.42</v>
      </c>
      <c r="N52" s="62">
        <f t="shared" si="28"/>
        <v>-150.42</v>
      </c>
      <c r="O52" s="62">
        <f t="shared" si="28"/>
        <v>-150.42</v>
      </c>
      <c r="P52" s="62">
        <f t="shared" si="28"/>
        <v>-150.42</v>
      </c>
    </row>
    <row r="53">
      <c r="A53" s="33" t="s">
        <v>86</v>
      </c>
      <c r="B53" s="63">
        <v>143.22</v>
      </c>
      <c r="D53" s="9" t="s">
        <v>87</v>
      </c>
      <c r="E53" s="64">
        <v>-80.0</v>
      </c>
      <c r="F53" s="64">
        <v>-80.0</v>
      </c>
      <c r="G53" s="64">
        <v>-80.0</v>
      </c>
      <c r="H53" s="64">
        <v>-80.0</v>
      </c>
      <c r="I53" s="64">
        <v>-80.0</v>
      </c>
      <c r="J53" s="64">
        <v>-80.0</v>
      </c>
      <c r="K53" s="64">
        <v>-80.0</v>
      </c>
      <c r="L53" s="64">
        <v>-80.0</v>
      </c>
      <c r="M53" s="64">
        <v>-80.0</v>
      </c>
      <c r="N53" s="64">
        <v>-80.0</v>
      </c>
      <c r="O53" s="64">
        <v>-80.0</v>
      </c>
      <c r="P53" s="64">
        <v>-80.0</v>
      </c>
    </row>
    <row r="54">
      <c r="A54" s="33" t="s">
        <v>88</v>
      </c>
      <c r="B54" s="61">
        <f>B51*B50</f>
        <v>1.8</v>
      </c>
      <c r="D54" s="56"/>
      <c r="E54" s="40">
        <f t="shared" ref="E54:P54" si="29">sum(E52:E53)</f>
        <v>-230.42</v>
      </c>
      <c r="F54" s="40">
        <f t="shared" si="29"/>
        <v>-230.42</v>
      </c>
      <c r="G54" s="40">
        <f t="shared" si="29"/>
        <v>-230.42</v>
      </c>
      <c r="H54" s="40">
        <f t="shared" si="29"/>
        <v>-230.42</v>
      </c>
      <c r="I54" s="40">
        <f t="shared" si="29"/>
        <v>-230.42</v>
      </c>
      <c r="J54" s="40">
        <f t="shared" si="29"/>
        <v>-230.42</v>
      </c>
      <c r="K54" s="40">
        <f t="shared" si="29"/>
        <v>-230.42</v>
      </c>
      <c r="L54" s="40">
        <f t="shared" si="29"/>
        <v>-230.42</v>
      </c>
      <c r="M54" s="40">
        <f t="shared" si="29"/>
        <v>-230.42</v>
      </c>
      <c r="N54" s="40">
        <f t="shared" si="29"/>
        <v>-230.42</v>
      </c>
      <c r="O54" s="40">
        <f t="shared" si="29"/>
        <v>-230.42</v>
      </c>
      <c r="P54" s="40">
        <f t="shared" si="29"/>
        <v>-230.42</v>
      </c>
    </row>
    <row r="55">
      <c r="A55" s="33" t="s">
        <v>89</v>
      </c>
      <c r="B55" s="61">
        <f>B53*B52</f>
        <v>35.805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33"/>
      <c r="B56" s="61"/>
      <c r="D56" s="65" t="s">
        <v>90</v>
      </c>
      <c r="E56" s="66">
        <f t="shared" ref="E56:P56" si="30">sum(E54,E49,E44)</f>
        <v>-597.42</v>
      </c>
      <c r="F56" s="66">
        <f t="shared" si="30"/>
        <v>-617.42</v>
      </c>
      <c r="G56" s="66">
        <f t="shared" si="30"/>
        <v>-617.42</v>
      </c>
      <c r="H56" s="66">
        <f t="shared" si="30"/>
        <v>-675.92</v>
      </c>
      <c r="I56" s="66">
        <f t="shared" si="30"/>
        <v>-675.92</v>
      </c>
      <c r="J56" s="66">
        <f t="shared" si="30"/>
        <v>-675.92</v>
      </c>
      <c r="K56" s="66">
        <f t="shared" si="30"/>
        <v>-675.92</v>
      </c>
      <c r="L56" s="66">
        <f t="shared" si="30"/>
        <v>-675.92</v>
      </c>
      <c r="M56" s="66">
        <f t="shared" si="30"/>
        <v>-675.92</v>
      </c>
      <c r="N56" s="66">
        <f t="shared" si="30"/>
        <v>-675.92</v>
      </c>
      <c r="O56" s="66">
        <f t="shared" si="30"/>
        <v>-675.92</v>
      </c>
      <c r="P56" s="66">
        <f t="shared" si="30"/>
        <v>-675.92</v>
      </c>
    </row>
    <row r="57">
      <c r="A57" s="33" t="s">
        <v>76</v>
      </c>
      <c r="B57" s="61"/>
    </row>
    <row r="58">
      <c r="A58" s="33" t="s">
        <v>91</v>
      </c>
      <c r="B58" s="61">
        <f>3000*0.6</f>
        <v>1800</v>
      </c>
      <c r="D58" s="67" t="s">
        <v>92</v>
      </c>
      <c r="E58" s="68">
        <f t="shared" ref="E58:P58" si="31">E56+E34-E4+E23</f>
        <v>-881.80608</v>
      </c>
      <c r="F58" s="68">
        <f t="shared" si="31"/>
        <v>-945.00608</v>
      </c>
      <c r="G58" s="68">
        <f t="shared" si="31"/>
        <v>-926.44765</v>
      </c>
      <c r="H58" s="68">
        <f t="shared" si="31"/>
        <v>91.44129</v>
      </c>
      <c r="I58" s="68">
        <f t="shared" si="31"/>
        <v>648.19419</v>
      </c>
      <c r="J58" s="68">
        <f t="shared" si="31"/>
        <v>954.408285</v>
      </c>
      <c r="K58" s="68">
        <f t="shared" si="31"/>
        <v>1098.236118</v>
      </c>
      <c r="L58" s="68">
        <f t="shared" si="31"/>
        <v>1186.38866</v>
      </c>
      <c r="M58" s="68">
        <f t="shared" si="31"/>
        <v>1223.50552</v>
      </c>
      <c r="N58" s="68">
        <f t="shared" si="31"/>
        <v>1279.18081</v>
      </c>
      <c r="O58" s="68">
        <f t="shared" si="31"/>
        <v>1297.73924</v>
      </c>
      <c r="P58" s="68">
        <f t="shared" si="31"/>
        <v>1334.8561</v>
      </c>
    </row>
    <row r="59">
      <c r="A59" s="33" t="s">
        <v>93</v>
      </c>
      <c r="B59" s="61">
        <v>0.0</v>
      </c>
    </row>
    <row r="60">
      <c r="A60" s="33" t="s">
        <v>94</v>
      </c>
      <c r="B60" s="61">
        <v>0.0</v>
      </c>
    </row>
  </sheetData>
  <mergeCells count="3">
    <mergeCell ref="A1:R1"/>
    <mergeCell ref="A2:B2"/>
    <mergeCell ref="D2:P2"/>
  </mergeCells>
  <drawing r:id="rId1"/>
</worksheet>
</file>